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tp\Documents\Kouluja\viestintätyökaluja\"/>
    </mc:Choice>
  </mc:AlternateContent>
  <xr:revisionPtr revIDLastSave="0" documentId="8_{1F065858-7B82-44D0-BDCB-99BD2CDDCFCB}" xr6:coauthVersionLast="46" xr6:coauthVersionMax="46" xr10:uidLastSave="{00000000-0000-0000-0000-000000000000}"/>
  <bookViews>
    <workbookView xWindow="-108" yWindow="-108" windowWidth="23256" windowHeight="12576" activeTab="2" xr2:uid="{3DA1E7B9-8E3E-4E0C-8764-7D32DB1A3DB1}"/>
  </bookViews>
  <sheets>
    <sheet name="Perusteet" sheetId="1" r:id="rId1"/>
    <sheet name="Funktiot" sheetId="2" r:id="rId2"/>
    <sheet name="Pivot" sheetId="3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C10" i="2"/>
  <c r="C9" i="2"/>
  <c r="C8" i="2"/>
  <c r="C7" i="2"/>
  <c r="C6" i="2"/>
  <c r="C5" i="2"/>
  <c r="C4" i="2"/>
  <c r="C3" i="2"/>
  <c r="C2" i="2"/>
  <c r="C18" i="2"/>
  <c r="C17" i="2"/>
  <c r="C14" i="2"/>
  <c r="C15" i="2"/>
  <c r="C16" i="2"/>
  <c r="F8" i="1"/>
  <c r="F7" i="1"/>
  <c r="F6" i="1"/>
  <c r="F5" i="1"/>
  <c r="F4" i="1"/>
  <c r="F9" i="1"/>
  <c r="B12" i="1" s="1"/>
  <c r="C12" i="1"/>
  <c r="D12" i="1"/>
  <c r="E12" i="1"/>
  <c r="E19" i="1"/>
  <c r="E18" i="1"/>
  <c r="D19" i="1"/>
  <c r="D18" i="1"/>
  <c r="C19" i="1"/>
  <c r="C18" i="1"/>
  <c r="D16" i="1"/>
  <c r="C17" i="1"/>
  <c r="D17" i="1"/>
  <c r="E17" i="1"/>
  <c r="C16" i="1"/>
  <c r="E16" i="1"/>
  <c r="D15" i="1"/>
  <c r="C15" i="1"/>
  <c r="E15" i="1"/>
  <c r="B19" i="1"/>
  <c r="B18" i="1"/>
  <c r="B17" i="1"/>
  <c r="B16" i="1"/>
  <c r="B15" i="1"/>
  <c r="C9" i="1"/>
  <c r="D9" i="1"/>
  <c r="E9" i="1"/>
  <c r="B9" i="1"/>
</calcChain>
</file>

<file path=xl/sharedStrings.xml><?xml version="1.0" encoding="utf-8"?>
<sst xmlns="http://schemas.openxmlformats.org/spreadsheetml/2006/main" count="94" uniqueCount="49">
  <si>
    <t>Tuoli Oy</t>
  </si>
  <si>
    <t>Kalustemyynti neljännesvuosittain eri myymälöissä v.2020</t>
  </si>
  <si>
    <t>Talvi</t>
  </si>
  <si>
    <t>Kevät</t>
  </si>
  <si>
    <t>Kesä</t>
  </si>
  <si>
    <t>Syksy</t>
  </si>
  <si>
    <t>Yhteensä</t>
  </si>
  <si>
    <t>Oulu</t>
  </si>
  <si>
    <t>Tornio</t>
  </si>
  <si>
    <t>Rovaniemi</t>
  </si>
  <si>
    <t>Kajaani</t>
  </si>
  <si>
    <t>Raahe</t>
  </si>
  <si>
    <t>%-osuudet eri vuoden ajoille kokonaismyynnistä</t>
  </si>
  <si>
    <t>Kuinka monta % eniten myydyimmän kaupungin myynnistä eri vuodenaikoina:</t>
  </si>
  <si>
    <t>Opiskelija</t>
  </si>
  <si>
    <t>Arviointi</t>
  </si>
  <si>
    <t>Symboli</t>
  </si>
  <si>
    <t>Elli</t>
  </si>
  <si>
    <t>Kalle</t>
  </si>
  <si>
    <t>Matti</t>
  </si>
  <si>
    <t>Otto</t>
  </si>
  <si>
    <t>Heikki</t>
  </si>
  <si>
    <t>Liisa</t>
  </si>
  <si>
    <t>Opiskelijoiden määrä</t>
  </si>
  <si>
    <t>Hylättyjen (E) lkm</t>
  </si>
  <si>
    <t>Arvioimattomien lkm</t>
  </si>
  <si>
    <t>Arvioitujen lkm</t>
  </si>
  <si>
    <t>Vähintään hyvien lkm</t>
  </si>
  <si>
    <t>(hyvä on vähint. 3,4 tai 5)</t>
  </si>
  <si>
    <t>E</t>
  </si>
  <si>
    <t>❶</t>
  </si>
  <si>
    <t>❷</t>
  </si>
  <si>
    <t>❸</t>
  </si>
  <si>
    <t>❹</t>
  </si>
  <si>
    <t>Ꚙ</t>
  </si>
  <si>
    <t>❺</t>
  </si>
  <si>
    <t>Sukupuoli</t>
  </si>
  <si>
    <t>Ryhmä</t>
  </si>
  <si>
    <t>A</t>
  </si>
  <si>
    <t>B</t>
  </si>
  <si>
    <t>Paino</t>
  </si>
  <si>
    <t>Pituus</t>
  </si>
  <si>
    <t>Riviotsikot</t>
  </si>
  <si>
    <t>Kaikki yhteensä</t>
  </si>
  <si>
    <t>Sarakeotsikot</t>
  </si>
  <si>
    <t>Keskiarvo  / Paino</t>
  </si>
  <si>
    <t>Yhteensä Keskiarvo  / Paino</t>
  </si>
  <si>
    <t>Yhteensä Keskiarvo  / Pituus</t>
  </si>
  <si>
    <t>Keskiarvo  / Pituus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</si>
</sst>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168" fontId="0" fillId="0" borderId="0" xfId="0" applyNumberFormat="1"/>
    <xf numFmtId="168" fontId="0" fillId="0" borderId="0" xfId="0" applyNumberFormat="1" applyFont="1"/>
    <xf numFmtId="9" fontId="0" fillId="0" borderId="0" xfId="1" applyFon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2">
    <cellStyle name="Normaali" xfId="0" builtinId="0"/>
    <cellStyle name="Prosenttia" xfId="1" builtinId="5"/>
  </cellStyles>
  <dxfs count="9"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Kalustemyynti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Perusteet!$A$4</c:f>
              <c:strCache>
                <c:ptCount val="1"/>
                <c:pt idx="0">
                  <c:v>Oulu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Perusteet!$B$3:$E$3</c:f>
              <c:strCache>
                <c:ptCount val="4"/>
                <c:pt idx="0">
                  <c:v>Talvi</c:v>
                </c:pt>
                <c:pt idx="1">
                  <c:v>Kevät</c:v>
                </c:pt>
                <c:pt idx="2">
                  <c:v>Kesä</c:v>
                </c:pt>
                <c:pt idx="3">
                  <c:v>Syksy</c:v>
                </c:pt>
              </c:strCache>
            </c:strRef>
          </c:cat>
          <c:val>
            <c:numRef>
              <c:f>Perusteet!$B$4:$E$4</c:f>
              <c:numCache>
                <c:formatCode>#\ ##0.00\ "€"</c:formatCode>
                <c:ptCount val="4"/>
                <c:pt idx="0">
                  <c:v>1000</c:v>
                </c:pt>
                <c:pt idx="1">
                  <c:v>2100</c:v>
                </c:pt>
                <c:pt idx="2">
                  <c:v>2300</c:v>
                </c:pt>
                <c:pt idx="3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C-4466-B847-24F290D1C5CD}"/>
            </c:ext>
          </c:extLst>
        </c:ser>
        <c:ser>
          <c:idx val="1"/>
          <c:order val="1"/>
          <c:tx>
            <c:strRef>
              <c:f>Perusteet!$A$5</c:f>
              <c:strCache>
                <c:ptCount val="1"/>
                <c:pt idx="0">
                  <c:v>Tornio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Perusteet!$B$3:$E$3</c:f>
              <c:strCache>
                <c:ptCount val="4"/>
                <c:pt idx="0">
                  <c:v>Talvi</c:v>
                </c:pt>
                <c:pt idx="1">
                  <c:v>Kevät</c:v>
                </c:pt>
                <c:pt idx="2">
                  <c:v>Kesä</c:v>
                </c:pt>
                <c:pt idx="3">
                  <c:v>Syksy</c:v>
                </c:pt>
              </c:strCache>
            </c:strRef>
          </c:cat>
          <c:val>
            <c:numRef>
              <c:f>Perusteet!$B$5:$E$5</c:f>
              <c:numCache>
                <c:formatCode>#\ ##0.00\ "€"</c:formatCode>
                <c:ptCount val="4"/>
                <c:pt idx="0">
                  <c:v>1500</c:v>
                </c:pt>
                <c:pt idx="1">
                  <c:v>1900</c:v>
                </c:pt>
                <c:pt idx="2">
                  <c:v>1900</c:v>
                </c:pt>
                <c:pt idx="3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C-4466-B847-24F290D1C5CD}"/>
            </c:ext>
          </c:extLst>
        </c:ser>
        <c:ser>
          <c:idx val="2"/>
          <c:order val="2"/>
          <c:tx>
            <c:strRef>
              <c:f>Perusteet!$A$6</c:f>
              <c:strCache>
                <c:ptCount val="1"/>
                <c:pt idx="0">
                  <c:v>Rovaniemi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Perusteet!$B$3:$E$3</c:f>
              <c:strCache>
                <c:ptCount val="4"/>
                <c:pt idx="0">
                  <c:v>Talvi</c:v>
                </c:pt>
                <c:pt idx="1">
                  <c:v>Kevät</c:v>
                </c:pt>
                <c:pt idx="2">
                  <c:v>Kesä</c:v>
                </c:pt>
                <c:pt idx="3">
                  <c:v>Syksy</c:v>
                </c:pt>
              </c:strCache>
            </c:strRef>
          </c:cat>
          <c:val>
            <c:numRef>
              <c:f>Perusteet!$B$6:$E$6</c:f>
              <c:numCache>
                <c:formatCode>#\ ##0.00\ "€"</c:formatCode>
                <c:ptCount val="4"/>
                <c:pt idx="0">
                  <c:v>1700</c:v>
                </c:pt>
                <c:pt idx="1">
                  <c:v>1300</c:v>
                </c:pt>
                <c:pt idx="2">
                  <c:v>1400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C-4466-B847-24F290D1C5CD}"/>
            </c:ext>
          </c:extLst>
        </c:ser>
        <c:ser>
          <c:idx val="3"/>
          <c:order val="3"/>
          <c:tx>
            <c:strRef>
              <c:f>Perusteet!$A$7</c:f>
              <c:strCache>
                <c:ptCount val="1"/>
                <c:pt idx="0">
                  <c:v>Kajaani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Perusteet!$B$3:$E$3</c:f>
              <c:strCache>
                <c:ptCount val="4"/>
                <c:pt idx="0">
                  <c:v>Talvi</c:v>
                </c:pt>
                <c:pt idx="1">
                  <c:v>Kevät</c:v>
                </c:pt>
                <c:pt idx="2">
                  <c:v>Kesä</c:v>
                </c:pt>
                <c:pt idx="3">
                  <c:v>Syksy</c:v>
                </c:pt>
              </c:strCache>
            </c:strRef>
          </c:cat>
          <c:val>
            <c:numRef>
              <c:f>Perusteet!$B$7:$E$7</c:f>
              <c:numCache>
                <c:formatCode>#\ ##0.00\ "€"</c:formatCode>
                <c:ptCount val="4"/>
                <c:pt idx="0">
                  <c:v>2300</c:v>
                </c:pt>
                <c:pt idx="1">
                  <c:v>2200</c:v>
                </c:pt>
                <c:pt idx="2">
                  <c:v>1200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C-4466-B847-24F290D1C5CD}"/>
            </c:ext>
          </c:extLst>
        </c:ser>
        <c:ser>
          <c:idx val="4"/>
          <c:order val="4"/>
          <c:tx>
            <c:strRef>
              <c:f>Perusteet!$A$8</c:f>
              <c:strCache>
                <c:ptCount val="1"/>
                <c:pt idx="0">
                  <c:v>Raahe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Perusteet!$B$3:$E$3</c:f>
              <c:strCache>
                <c:ptCount val="4"/>
                <c:pt idx="0">
                  <c:v>Talvi</c:v>
                </c:pt>
                <c:pt idx="1">
                  <c:v>Kevät</c:v>
                </c:pt>
                <c:pt idx="2">
                  <c:v>Kesä</c:v>
                </c:pt>
                <c:pt idx="3">
                  <c:v>Syksy</c:v>
                </c:pt>
              </c:strCache>
            </c:strRef>
          </c:cat>
          <c:val>
            <c:numRef>
              <c:f>Perusteet!$B$8:$E$8</c:f>
              <c:numCache>
                <c:formatCode>#\ ##0.00\ "€"</c:formatCode>
                <c:ptCount val="4"/>
                <c:pt idx="0">
                  <c:v>1100</c:v>
                </c:pt>
                <c:pt idx="1">
                  <c:v>2200</c:v>
                </c:pt>
                <c:pt idx="2">
                  <c:v>1000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FC-4466-B847-24F290D1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392128"/>
        <c:axId val="1360390464"/>
      </c:barChart>
      <c:catAx>
        <c:axId val="13603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60390464"/>
        <c:crosses val="autoZero"/>
        <c:auto val="1"/>
        <c:lblAlgn val="ctr"/>
        <c:lblOffset val="100"/>
        <c:noMultiLvlLbl val="0"/>
      </c:catAx>
      <c:valAx>
        <c:axId val="13603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603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179070</xdr:rowOff>
    </xdr:from>
    <xdr:to>
      <xdr:col>7</xdr:col>
      <xdr:colOff>83820</xdr:colOff>
      <xdr:row>34</xdr:row>
      <xdr:rowOff>179070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26CF48BF-33B8-43D0-A9D5-713078C52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tteri Pitkänen" refreshedDate="44331.779392245371" createdVersion="7" refreshedVersion="7" minRefreshableVersion="3" recordCount="30" xr:uid="{F1A14DCF-FEF5-4CB3-9CE3-64D8E85D867F}">
  <cacheSource type="worksheet">
    <worksheetSource name="Taulukko1"/>
  </cacheSource>
  <cacheFields count="4">
    <cacheField name="Sukupuoli" numFmtId="0">
      <sharedItems containsSemiMixedTypes="0" containsString="0" containsNumber="1" containsInteger="1" minValue="1" maxValue="2" count="2">
        <n v="2"/>
        <n v="1"/>
      </sharedItems>
    </cacheField>
    <cacheField name="Ryhmä" numFmtId="0">
      <sharedItems count="2">
        <s v="A"/>
        <s v="B"/>
      </sharedItems>
    </cacheField>
    <cacheField name="Paino" numFmtId="0">
      <sharedItems containsSemiMixedTypes="0" containsString="0" containsNumber="1" containsInteger="1" minValue="50" maxValue="109"/>
    </cacheField>
    <cacheField name="Pituus" numFmtId="0">
      <sharedItems containsSemiMixedTypes="0" containsString="0" containsNumber="1" containsInteger="1" minValue="156" maxValue="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89"/>
    <n v="170"/>
  </r>
  <r>
    <x v="0"/>
    <x v="0"/>
    <n v="62"/>
    <n v="158"/>
  </r>
  <r>
    <x v="1"/>
    <x v="1"/>
    <n v="74"/>
    <n v="188"/>
  </r>
  <r>
    <x v="1"/>
    <x v="0"/>
    <n v="57"/>
    <n v="161"/>
  </r>
  <r>
    <x v="1"/>
    <x v="1"/>
    <n v="62"/>
    <n v="188"/>
  </r>
  <r>
    <x v="0"/>
    <x v="0"/>
    <n v="63"/>
    <n v="187"/>
  </r>
  <r>
    <x v="0"/>
    <x v="1"/>
    <n v="76"/>
    <n v="162"/>
  </r>
  <r>
    <x v="0"/>
    <x v="1"/>
    <n v="72"/>
    <n v="166"/>
  </r>
  <r>
    <x v="1"/>
    <x v="0"/>
    <n v="68"/>
    <n v="172"/>
  </r>
  <r>
    <x v="1"/>
    <x v="1"/>
    <n v="50"/>
    <n v="183"/>
  </r>
  <r>
    <x v="1"/>
    <x v="1"/>
    <n v="86"/>
    <n v="172"/>
  </r>
  <r>
    <x v="0"/>
    <x v="1"/>
    <n v="62"/>
    <n v="169"/>
  </r>
  <r>
    <x v="1"/>
    <x v="0"/>
    <n v="100"/>
    <n v="176"/>
  </r>
  <r>
    <x v="0"/>
    <x v="1"/>
    <n v="55"/>
    <n v="164"/>
  </r>
  <r>
    <x v="1"/>
    <x v="0"/>
    <n v="59"/>
    <n v="172"/>
  </r>
  <r>
    <x v="0"/>
    <x v="0"/>
    <n v="82"/>
    <n v="187"/>
  </r>
  <r>
    <x v="1"/>
    <x v="0"/>
    <n v="109"/>
    <n v="167"/>
  </r>
  <r>
    <x v="0"/>
    <x v="1"/>
    <n v="95"/>
    <n v="156"/>
  </r>
  <r>
    <x v="1"/>
    <x v="0"/>
    <n v="50"/>
    <n v="160"/>
  </r>
  <r>
    <x v="0"/>
    <x v="0"/>
    <n v="81"/>
    <n v="167"/>
  </r>
  <r>
    <x v="0"/>
    <x v="1"/>
    <n v="89"/>
    <n v="178"/>
  </r>
  <r>
    <x v="0"/>
    <x v="1"/>
    <n v="88"/>
    <n v="160"/>
  </r>
  <r>
    <x v="1"/>
    <x v="1"/>
    <n v="75"/>
    <n v="167"/>
  </r>
  <r>
    <x v="1"/>
    <x v="0"/>
    <n v="103"/>
    <n v="161"/>
  </r>
  <r>
    <x v="1"/>
    <x v="1"/>
    <n v="62"/>
    <n v="168"/>
  </r>
  <r>
    <x v="1"/>
    <x v="0"/>
    <n v="87"/>
    <n v="161"/>
  </r>
  <r>
    <x v="0"/>
    <x v="1"/>
    <n v="97"/>
    <n v="156"/>
  </r>
  <r>
    <x v="0"/>
    <x v="1"/>
    <n v="108"/>
    <n v="165"/>
  </r>
  <r>
    <x v="1"/>
    <x v="0"/>
    <n v="51"/>
    <n v="186"/>
  </r>
  <r>
    <x v="0"/>
    <x v="0"/>
    <n v="98"/>
    <n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EBE5C-73BB-4408-B4B3-23314E5EE4D3}" name="Pivot-taulukko3" cacheId="12" applyNumberFormats="0" applyBorderFormats="0" applyFontFormats="0" applyPatternFormats="0" applyAlignmentFormats="0" applyWidthHeightFormats="1" dataCaption="Arvot" updatedVersion="7" minRefreshableVersion="3" useAutoFormatting="1" itemPrintTitles="1" createdVersion="7" indent="0" outline="1" outlineData="1" multipleFieldFilters="0">
  <location ref="F3:L8" firstHeaderRow="1" firstDataRow="3" firstDataCol="1"/>
  <pivotFields count="4">
    <pivotField axis="axisRow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Keskiarvo  / Paino" fld="2" subtotal="average" baseField="0" baseItem="0"/>
    <dataField name="Keskiarvo  / Pituus" fld="3" subtotal="average" baseField="0" baseItem="0"/>
  </dataFields>
  <formats count="3">
    <format dxfId="2">
      <pivotArea outline="0" collapsedLevelsAreSubtotals="1" fieldPosition="0">
        <references count="2">
          <reference field="4294967294" count="2" selected="0">
            <x v="0"/>
            <x v="1"/>
          </reference>
          <reference field="1" count="0" selected="0"/>
        </references>
      </pivotArea>
    </format>
    <format dxfId="1">
      <pivotArea field="1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0">
      <pivotArea field="1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1E154-0825-4109-BC72-493CC76A93F5}" name="Taulukko1" displayName="Taulukko1" ref="A1:D31" totalsRowShown="0" headerRowDxfId="3" dataDxfId="4">
  <autoFilter ref="A1:D31" xr:uid="{1869FE6D-748B-446E-9F6D-F263E0FF3374}"/>
  <tableColumns count="4">
    <tableColumn id="1" xr3:uid="{2DE6DE2E-E957-4C4D-AF3A-038985EE4007}" name="Sukupuoli" dataDxfId="8"/>
    <tableColumn id="2" xr3:uid="{74A6779D-3A61-4CAB-B769-EA95D248CFD6}" name="Ryhmä" dataDxfId="7"/>
    <tableColumn id="3" xr3:uid="{4AF944D8-5D86-460F-B7AB-856116D5A3D2}" name="Paino" dataDxfId="6"/>
    <tableColumn id="4" xr3:uid="{1AE3B624-749D-4215-A3CE-C2C53D8975B7}" name="Pitu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023C-AC75-463D-9211-8E28F19F0A63}">
  <dimension ref="A1:G19"/>
  <sheetViews>
    <sheetView topLeftCell="A13" workbookViewId="0">
      <selection activeCell="K22" sqref="K22"/>
    </sheetView>
  </sheetViews>
  <sheetFormatPr defaultRowHeight="14.4" x14ac:dyDescent="0.3"/>
  <cols>
    <col min="2" max="5" width="9.33203125" bestFit="1" customWidth="1"/>
    <col min="6" max="6" width="10.33203125" bestFit="1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7" x14ac:dyDescent="0.3">
      <c r="A4" t="s">
        <v>7</v>
      </c>
      <c r="B4" s="3">
        <v>1000</v>
      </c>
      <c r="C4" s="2">
        <v>2100</v>
      </c>
      <c r="D4" s="2">
        <v>2300</v>
      </c>
      <c r="E4" s="2">
        <v>2300</v>
      </c>
      <c r="F4" s="2">
        <f>SUM(B4:E4)</f>
        <v>7700</v>
      </c>
    </row>
    <row r="5" spans="1:7" x14ac:dyDescent="0.3">
      <c r="A5" t="s">
        <v>8</v>
      </c>
      <c r="B5" s="3">
        <v>1500</v>
      </c>
      <c r="C5" s="2">
        <v>1900</v>
      </c>
      <c r="D5" s="2">
        <v>1900</v>
      </c>
      <c r="E5" s="2">
        <v>1100</v>
      </c>
      <c r="F5" s="2">
        <f>SUM(B5:E5)</f>
        <v>6400</v>
      </c>
    </row>
    <row r="6" spans="1:7" x14ac:dyDescent="0.3">
      <c r="A6" t="s">
        <v>9</v>
      </c>
      <c r="B6" s="2">
        <v>1700</v>
      </c>
      <c r="C6" s="2">
        <v>1300</v>
      </c>
      <c r="D6" s="2">
        <v>1400</v>
      </c>
      <c r="E6" s="2">
        <v>2400</v>
      </c>
      <c r="F6" s="2">
        <f>SUM(B6:E6)</f>
        <v>6800</v>
      </c>
    </row>
    <row r="7" spans="1:7" x14ac:dyDescent="0.3">
      <c r="A7" t="s">
        <v>10</v>
      </c>
      <c r="B7" s="2">
        <v>2300</v>
      </c>
      <c r="C7" s="2">
        <v>2200</v>
      </c>
      <c r="D7" s="2">
        <v>1200</v>
      </c>
      <c r="E7" s="2">
        <v>2500</v>
      </c>
      <c r="F7" s="2">
        <f>SUM(B7:E7)</f>
        <v>8200</v>
      </c>
    </row>
    <row r="8" spans="1:7" x14ac:dyDescent="0.3">
      <c r="A8" t="s">
        <v>11</v>
      </c>
      <c r="B8" s="2">
        <v>1100</v>
      </c>
      <c r="C8" s="2">
        <v>2200</v>
      </c>
      <c r="D8" s="2">
        <v>1000</v>
      </c>
      <c r="E8" s="2">
        <v>1200</v>
      </c>
      <c r="F8" s="2">
        <f>SUM(B8:E8)</f>
        <v>5500</v>
      </c>
    </row>
    <row r="9" spans="1:7" x14ac:dyDescent="0.3">
      <c r="A9" t="s">
        <v>6</v>
      </c>
      <c r="B9" s="2">
        <f>B4+B5+B6+B7+B8</f>
        <v>7600</v>
      </c>
      <c r="C9" s="2">
        <f t="shared" ref="C9:F9" si="0">C4+C5+C6+C7+C8</f>
        <v>9700</v>
      </c>
      <c r="D9" s="2">
        <f t="shared" si="0"/>
        <v>7800</v>
      </c>
      <c r="E9" s="2">
        <f t="shared" si="0"/>
        <v>9500</v>
      </c>
      <c r="F9" s="2">
        <f>B9+C9+D9+E9</f>
        <v>34600</v>
      </c>
      <c r="G9" s="2"/>
    </row>
    <row r="10" spans="1:7" x14ac:dyDescent="0.3">
      <c r="F10" s="2"/>
    </row>
    <row r="11" spans="1:7" x14ac:dyDescent="0.3">
      <c r="A11" t="s">
        <v>12</v>
      </c>
    </row>
    <row r="12" spans="1:7" x14ac:dyDescent="0.3">
      <c r="B12" s="4">
        <f>B9/F9</f>
        <v>0.21965317919075145</v>
      </c>
      <c r="C12" s="4">
        <f>C9/F9</f>
        <v>0.28034682080924855</v>
      </c>
      <c r="D12" s="4">
        <f>D9/F9</f>
        <v>0.22543352601156069</v>
      </c>
      <c r="E12" s="4">
        <f>E9/F9</f>
        <v>0.27456647398843931</v>
      </c>
    </row>
    <row r="14" spans="1:7" x14ac:dyDescent="0.3">
      <c r="A14" t="s">
        <v>13</v>
      </c>
    </row>
    <row r="15" spans="1:7" x14ac:dyDescent="0.3">
      <c r="A15" t="s">
        <v>7</v>
      </c>
      <c r="B15" s="4">
        <f>B4/B7</f>
        <v>0.43478260869565216</v>
      </c>
      <c r="C15" s="4">
        <f t="shared" ref="C15:E15" si="1">C4/C7</f>
        <v>0.95454545454545459</v>
      </c>
      <c r="D15" s="4">
        <f>D4/D4</f>
        <v>1</v>
      </c>
      <c r="E15" s="4">
        <f t="shared" si="1"/>
        <v>0.92</v>
      </c>
    </row>
    <row r="16" spans="1:7" x14ac:dyDescent="0.3">
      <c r="A16" t="s">
        <v>8</v>
      </c>
      <c r="B16" s="4">
        <f>B5/B7</f>
        <v>0.65217391304347827</v>
      </c>
      <c r="C16" s="4">
        <f t="shared" ref="C16:E16" si="2">C5/C7</f>
        <v>0.86363636363636365</v>
      </c>
      <c r="D16" s="4">
        <f>D5/D4</f>
        <v>0.82608695652173914</v>
      </c>
      <c r="E16" s="4">
        <f t="shared" si="2"/>
        <v>0.44</v>
      </c>
    </row>
    <row r="17" spans="1:5" x14ac:dyDescent="0.3">
      <c r="A17" t="s">
        <v>9</v>
      </c>
      <c r="B17" s="4">
        <f>B6/B7</f>
        <v>0.73913043478260865</v>
      </c>
      <c r="C17" s="4">
        <f t="shared" ref="C17:E17" si="3">C6/C7</f>
        <v>0.59090909090909094</v>
      </c>
      <c r="D17" s="4">
        <f t="shared" si="3"/>
        <v>1.1666666666666667</v>
      </c>
      <c r="E17" s="4">
        <f t="shared" si="3"/>
        <v>0.96</v>
      </c>
    </row>
    <row r="18" spans="1:5" x14ac:dyDescent="0.3">
      <c r="A18" t="s">
        <v>10</v>
      </c>
      <c r="B18" s="4">
        <f>B7/B7</f>
        <v>1</v>
      </c>
      <c r="C18" s="4">
        <f>C7/C8</f>
        <v>1</v>
      </c>
      <c r="D18" s="4">
        <f>D7/D4</f>
        <v>0.52173913043478259</v>
      </c>
      <c r="E18" s="4">
        <f>E7/E7</f>
        <v>1</v>
      </c>
    </row>
    <row r="19" spans="1:5" x14ac:dyDescent="0.3">
      <c r="A19" t="s">
        <v>11</v>
      </c>
      <c r="B19" s="4">
        <f>B8/B7</f>
        <v>0.47826086956521741</v>
      </c>
      <c r="C19" s="4">
        <f>C8/C7</f>
        <v>1</v>
      </c>
      <c r="D19" s="4">
        <f>D8/D4</f>
        <v>0.43478260869565216</v>
      </c>
      <c r="E19" s="4">
        <f>E8/E7</f>
        <v>0.48</v>
      </c>
    </row>
  </sheetData>
  <conditionalFormatting sqref="B15:E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{21EE533B-7248-4852-A193-9E500F9C490D}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EE533B-7248-4852-A193-9E500F9C4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B15:E19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C44C-100D-4B0E-8462-C389D3AF50EC}">
  <dimension ref="A1:E19"/>
  <sheetViews>
    <sheetView workbookViewId="0">
      <selection activeCell="F27" sqref="F27"/>
    </sheetView>
  </sheetViews>
  <sheetFormatPr defaultRowHeight="14.4" x14ac:dyDescent="0.3"/>
  <cols>
    <col min="3" max="3" width="11" bestFit="1" customWidth="1"/>
  </cols>
  <sheetData>
    <row r="1" spans="1:5" x14ac:dyDescent="0.3">
      <c r="A1" t="s">
        <v>14</v>
      </c>
      <c r="B1" t="s">
        <v>15</v>
      </c>
      <c r="C1" t="s">
        <v>16</v>
      </c>
    </row>
    <row r="2" spans="1:5" x14ac:dyDescent="0.3">
      <c r="A2" t="s">
        <v>17</v>
      </c>
      <c r="B2" s="6" t="s">
        <v>29</v>
      </c>
      <c r="C2" s="8" t="str">
        <f>VLOOKUP(B2,$D$2:$E$7,2,FALSE)</f>
        <v>Ꚙ</v>
      </c>
      <c r="D2" s="6" t="s">
        <v>29</v>
      </c>
      <c r="E2" s="7" t="s">
        <v>34</v>
      </c>
    </row>
    <row r="3" spans="1:5" x14ac:dyDescent="0.3">
      <c r="A3" t="s">
        <v>18</v>
      </c>
      <c r="B3" s="6">
        <v>3</v>
      </c>
      <c r="C3" s="8" t="str">
        <f t="shared" ref="C3:C12" si="0">VLOOKUP(B3,$D$2:$E$7,2,FALSE)</f>
        <v>❸</v>
      </c>
      <c r="D3" s="6">
        <v>1</v>
      </c>
      <c r="E3" t="s">
        <v>30</v>
      </c>
    </row>
    <row r="4" spans="1:5" x14ac:dyDescent="0.3">
      <c r="A4" t="s">
        <v>19</v>
      </c>
      <c r="B4" s="6">
        <v>4</v>
      </c>
      <c r="C4" s="8" t="str">
        <f t="shared" si="0"/>
        <v>❹</v>
      </c>
      <c r="D4" s="6">
        <v>2</v>
      </c>
      <c r="E4" t="s">
        <v>31</v>
      </c>
    </row>
    <row r="5" spans="1:5" x14ac:dyDescent="0.3">
      <c r="A5" t="s">
        <v>20</v>
      </c>
      <c r="B5" s="6"/>
      <c r="C5" s="8" t="e">
        <f t="shared" si="0"/>
        <v>#N/A</v>
      </c>
      <c r="D5" s="6">
        <v>3</v>
      </c>
      <c r="E5" t="s">
        <v>32</v>
      </c>
    </row>
    <row r="6" spans="1:5" x14ac:dyDescent="0.3">
      <c r="A6" t="s">
        <v>18</v>
      </c>
      <c r="B6" s="6">
        <v>2</v>
      </c>
      <c r="C6" s="8" t="str">
        <f t="shared" si="0"/>
        <v>❷</v>
      </c>
      <c r="D6" s="6">
        <v>4</v>
      </c>
      <c r="E6" t="s">
        <v>33</v>
      </c>
    </row>
    <row r="7" spans="1:5" x14ac:dyDescent="0.3">
      <c r="A7" t="s">
        <v>21</v>
      </c>
      <c r="B7" s="6"/>
      <c r="C7" s="8" t="e">
        <f t="shared" si="0"/>
        <v>#N/A</v>
      </c>
      <c r="D7" s="6">
        <v>5</v>
      </c>
      <c r="E7" t="s">
        <v>35</v>
      </c>
    </row>
    <row r="8" spans="1:5" x14ac:dyDescent="0.3">
      <c r="A8" t="s">
        <v>22</v>
      </c>
      <c r="B8" s="6">
        <v>3</v>
      </c>
      <c r="C8" s="8" t="str">
        <f t="shared" si="0"/>
        <v>❸</v>
      </c>
    </row>
    <row r="9" spans="1:5" x14ac:dyDescent="0.3">
      <c r="A9" t="s">
        <v>20</v>
      </c>
      <c r="B9" s="6">
        <v>5</v>
      </c>
      <c r="C9" s="8" t="str">
        <f t="shared" si="0"/>
        <v>❺</v>
      </c>
    </row>
    <row r="10" spans="1:5" x14ac:dyDescent="0.3">
      <c r="A10" t="s">
        <v>17</v>
      </c>
      <c r="B10" s="6">
        <v>4</v>
      </c>
      <c r="C10" s="8" t="str">
        <f t="shared" si="0"/>
        <v>❹</v>
      </c>
    </row>
    <row r="11" spans="1:5" x14ac:dyDescent="0.3">
      <c r="A11" t="s">
        <v>18</v>
      </c>
      <c r="B11" s="6" t="s">
        <v>29</v>
      </c>
      <c r="C11" s="8" t="str">
        <f t="shared" si="0"/>
        <v>Ꚙ</v>
      </c>
    </row>
    <row r="12" spans="1:5" x14ac:dyDescent="0.3">
      <c r="A12" t="s">
        <v>19</v>
      </c>
      <c r="B12" s="6">
        <v>1</v>
      </c>
      <c r="C12" s="8" t="str">
        <f t="shared" si="0"/>
        <v>❶</v>
      </c>
    </row>
    <row r="14" spans="1:5" x14ac:dyDescent="0.3">
      <c r="A14" t="s">
        <v>23</v>
      </c>
      <c r="C14" s="5">
        <f>COUNTA(A2:A12)</f>
        <v>11</v>
      </c>
    </row>
    <row r="15" spans="1:5" x14ac:dyDescent="0.3">
      <c r="A15" t="s">
        <v>24</v>
      </c>
      <c r="C15" s="5">
        <f>COUNTIF(B2:B12,"E")</f>
        <v>2</v>
      </c>
    </row>
    <row r="16" spans="1:5" x14ac:dyDescent="0.3">
      <c r="A16" t="s">
        <v>25</v>
      </c>
      <c r="C16" s="5">
        <f>COUNTBLANK(B2:B12)</f>
        <v>2</v>
      </c>
    </row>
    <row r="17" spans="1:3" x14ac:dyDescent="0.3">
      <c r="A17" t="s">
        <v>26</v>
      </c>
      <c r="C17" s="5">
        <f>COUNT(B2:B12)</f>
        <v>7</v>
      </c>
    </row>
    <row r="18" spans="1:3" x14ac:dyDescent="0.3">
      <c r="A18" t="s">
        <v>27</v>
      </c>
      <c r="C18" s="5">
        <f>COUNTIF(B2:B12,"&gt;=3")</f>
        <v>5</v>
      </c>
    </row>
    <row r="19" spans="1:3" x14ac:dyDescent="0.3">
      <c r="A1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E2DD-1866-4717-8198-7253FF0C64CA}">
  <dimension ref="A1:L31"/>
  <sheetViews>
    <sheetView tabSelected="1" zoomScaleNormal="100" workbookViewId="0">
      <selection activeCell="L18" sqref="L18"/>
    </sheetView>
  </sheetViews>
  <sheetFormatPr defaultRowHeight="14.4" x14ac:dyDescent="0.3"/>
  <cols>
    <col min="1" max="1" width="11.77734375" customWidth="1"/>
    <col min="6" max="6" width="14.77734375" bestFit="1" customWidth="1"/>
    <col min="7" max="7" width="16.77734375" bestFit="1" customWidth="1"/>
    <col min="8" max="8" width="17.44140625" bestFit="1" customWidth="1"/>
    <col min="9" max="9" width="16.77734375" bestFit="1" customWidth="1"/>
    <col min="10" max="10" width="17.44140625" bestFit="1" customWidth="1"/>
    <col min="11" max="11" width="25.6640625" bestFit="1" customWidth="1"/>
    <col min="12" max="12" width="26.33203125" bestFit="1" customWidth="1"/>
  </cols>
  <sheetData>
    <row r="1" spans="1:12" x14ac:dyDescent="0.3">
      <c r="A1" s="9" t="s">
        <v>36</v>
      </c>
      <c r="B1" s="9" t="s">
        <v>37</v>
      </c>
      <c r="C1" s="9" t="s">
        <v>40</v>
      </c>
      <c r="D1" s="9" t="s">
        <v>41</v>
      </c>
    </row>
    <row r="2" spans="1:12" x14ac:dyDescent="0.3">
      <c r="A2" s="10">
        <v>2</v>
      </c>
      <c r="B2" s="10" t="s">
        <v>38</v>
      </c>
      <c r="C2" s="10">
        <v>89</v>
      </c>
      <c r="D2" s="10">
        <v>170</v>
      </c>
    </row>
    <row r="3" spans="1:12" x14ac:dyDescent="0.3">
      <c r="A3" s="10">
        <v>2</v>
      </c>
      <c r="B3" s="10" t="s">
        <v>38</v>
      </c>
      <c r="C3" s="10">
        <v>62</v>
      </c>
      <c r="D3" s="10">
        <v>158</v>
      </c>
      <c r="G3" s="11" t="s">
        <v>44</v>
      </c>
    </row>
    <row r="4" spans="1:12" x14ac:dyDescent="0.3">
      <c r="A4" s="10">
        <v>1</v>
      </c>
      <c r="B4" s="10" t="s">
        <v>39</v>
      </c>
      <c r="C4" s="10">
        <v>74</v>
      </c>
      <c r="D4" s="10">
        <v>188</v>
      </c>
      <c r="G4" t="s">
        <v>38</v>
      </c>
      <c r="I4" t="s">
        <v>39</v>
      </c>
      <c r="K4" t="s">
        <v>46</v>
      </c>
      <c r="L4" t="s">
        <v>47</v>
      </c>
    </row>
    <row r="5" spans="1:12" x14ac:dyDescent="0.3">
      <c r="A5" s="10">
        <v>1</v>
      </c>
      <c r="B5" s="10" t="s">
        <v>38</v>
      </c>
      <c r="C5" s="10">
        <v>57</v>
      </c>
      <c r="D5" s="10">
        <v>161</v>
      </c>
      <c r="F5" s="11" t="s">
        <v>42</v>
      </c>
      <c r="G5" t="s">
        <v>45</v>
      </c>
      <c r="H5" t="s">
        <v>48</v>
      </c>
      <c r="I5" t="s">
        <v>45</v>
      </c>
      <c r="J5" t="s">
        <v>48</v>
      </c>
    </row>
    <row r="6" spans="1:12" x14ac:dyDescent="0.3">
      <c r="A6" s="10">
        <v>1</v>
      </c>
      <c r="B6" s="10" t="s">
        <v>39</v>
      </c>
      <c r="C6" s="10">
        <v>62</v>
      </c>
      <c r="D6" s="10">
        <v>188</v>
      </c>
      <c r="F6" s="12">
        <v>1</v>
      </c>
      <c r="G6" s="13">
        <v>76</v>
      </c>
      <c r="H6" s="13">
        <v>168.44444444444446</v>
      </c>
      <c r="I6" s="13">
        <v>68.166666666666671</v>
      </c>
      <c r="J6" s="13">
        <v>177.66666666666666</v>
      </c>
      <c r="K6" s="13">
        <v>72.86666666666666</v>
      </c>
      <c r="L6" s="13">
        <v>172.13333333333333</v>
      </c>
    </row>
    <row r="7" spans="1:12" x14ac:dyDescent="0.3">
      <c r="A7" s="10">
        <v>2</v>
      </c>
      <c r="B7" s="10" t="s">
        <v>38</v>
      </c>
      <c r="C7" s="10">
        <v>63</v>
      </c>
      <c r="D7" s="10">
        <v>187</v>
      </c>
      <c r="F7" s="12">
        <v>2</v>
      </c>
      <c r="G7" s="13">
        <v>79.166666666666671</v>
      </c>
      <c r="H7" s="13">
        <v>175.66666666666666</v>
      </c>
      <c r="I7" s="13">
        <v>82.444444444444443</v>
      </c>
      <c r="J7" s="13">
        <v>164</v>
      </c>
      <c r="K7" s="13">
        <v>81.13333333333334</v>
      </c>
      <c r="L7" s="13">
        <v>168.66666666666666</v>
      </c>
    </row>
    <row r="8" spans="1:12" x14ac:dyDescent="0.3">
      <c r="A8" s="10">
        <v>2</v>
      </c>
      <c r="B8" s="10" t="s">
        <v>39</v>
      </c>
      <c r="C8" s="10">
        <v>76</v>
      </c>
      <c r="D8" s="10">
        <v>162</v>
      </c>
      <c r="F8" s="12" t="s">
        <v>43</v>
      </c>
      <c r="G8" s="13">
        <v>77.266666666666666</v>
      </c>
      <c r="H8" s="13">
        <v>171.33333333333334</v>
      </c>
      <c r="I8" s="13">
        <v>76.733333333333334</v>
      </c>
      <c r="J8" s="13">
        <v>169.46666666666667</v>
      </c>
      <c r="K8" s="13">
        <v>77</v>
      </c>
      <c r="L8" s="13">
        <v>170.4</v>
      </c>
    </row>
    <row r="9" spans="1:12" x14ac:dyDescent="0.3">
      <c r="A9" s="10">
        <v>2</v>
      </c>
      <c r="B9" s="10" t="s">
        <v>39</v>
      </c>
      <c r="C9" s="10">
        <v>72</v>
      </c>
      <c r="D9" s="10">
        <v>166</v>
      </c>
    </row>
    <row r="10" spans="1:12" x14ac:dyDescent="0.3">
      <c r="A10" s="10">
        <v>1</v>
      </c>
      <c r="B10" s="10" t="s">
        <v>38</v>
      </c>
      <c r="C10" s="10">
        <v>68</v>
      </c>
      <c r="D10" s="10">
        <v>172</v>
      </c>
    </row>
    <row r="11" spans="1:12" x14ac:dyDescent="0.3">
      <c r="A11" s="10">
        <v>1</v>
      </c>
      <c r="B11" s="10" t="s">
        <v>39</v>
      </c>
      <c r="C11" s="10">
        <v>50</v>
      </c>
      <c r="D11" s="10">
        <v>183</v>
      </c>
    </row>
    <row r="12" spans="1:12" x14ac:dyDescent="0.3">
      <c r="A12" s="10">
        <v>1</v>
      </c>
      <c r="B12" s="10" t="s">
        <v>39</v>
      </c>
      <c r="C12" s="10">
        <v>86</v>
      </c>
      <c r="D12" s="10">
        <v>172</v>
      </c>
    </row>
    <row r="13" spans="1:12" x14ac:dyDescent="0.3">
      <c r="A13" s="10">
        <v>2</v>
      </c>
      <c r="B13" s="10" t="s">
        <v>39</v>
      </c>
      <c r="C13" s="10">
        <v>62</v>
      </c>
      <c r="D13" s="10">
        <v>169</v>
      </c>
    </row>
    <row r="14" spans="1:12" x14ac:dyDescent="0.3">
      <c r="A14" s="10">
        <v>1</v>
      </c>
      <c r="B14" s="10" t="s">
        <v>38</v>
      </c>
      <c r="C14" s="10">
        <v>100</v>
      </c>
      <c r="D14" s="10">
        <v>176</v>
      </c>
    </row>
    <row r="15" spans="1:12" x14ac:dyDescent="0.3">
      <c r="A15" s="10">
        <v>2</v>
      </c>
      <c r="B15" s="10" t="s">
        <v>39</v>
      </c>
      <c r="C15" s="10">
        <v>55</v>
      </c>
      <c r="D15" s="10">
        <v>164</v>
      </c>
    </row>
    <row r="16" spans="1:12" x14ac:dyDescent="0.3">
      <c r="A16" s="10">
        <v>1</v>
      </c>
      <c r="B16" s="10" t="s">
        <v>38</v>
      </c>
      <c r="C16" s="10">
        <v>59</v>
      </c>
      <c r="D16" s="10">
        <v>172</v>
      </c>
    </row>
    <row r="17" spans="1:4" x14ac:dyDescent="0.3">
      <c r="A17" s="10">
        <v>2</v>
      </c>
      <c r="B17" s="10" t="s">
        <v>38</v>
      </c>
      <c r="C17" s="10">
        <v>82</v>
      </c>
      <c r="D17" s="10">
        <v>187</v>
      </c>
    </row>
    <row r="18" spans="1:4" x14ac:dyDescent="0.3">
      <c r="A18" s="10">
        <v>1</v>
      </c>
      <c r="B18" s="10" t="s">
        <v>38</v>
      </c>
      <c r="C18" s="10">
        <v>109</v>
      </c>
      <c r="D18" s="10">
        <v>167</v>
      </c>
    </row>
    <row r="19" spans="1:4" x14ac:dyDescent="0.3">
      <c r="A19" s="10">
        <v>2</v>
      </c>
      <c r="B19" s="10" t="s">
        <v>39</v>
      </c>
      <c r="C19" s="10">
        <v>95</v>
      </c>
      <c r="D19" s="10">
        <v>156</v>
      </c>
    </row>
    <row r="20" spans="1:4" x14ac:dyDescent="0.3">
      <c r="A20" s="10">
        <v>1</v>
      </c>
      <c r="B20" s="10" t="s">
        <v>38</v>
      </c>
      <c r="C20" s="10">
        <v>50</v>
      </c>
      <c r="D20" s="10">
        <v>160</v>
      </c>
    </row>
    <row r="21" spans="1:4" x14ac:dyDescent="0.3">
      <c r="A21" s="10">
        <v>2</v>
      </c>
      <c r="B21" s="10" t="s">
        <v>38</v>
      </c>
      <c r="C21" s="10">
        <v>81</v>
      </c>
      <c r="D21" s="10">
        <v>167</v>
      </c>
    </row>
    <row r="22" spans="1:4" x14ac:dyDescent="0.3">
      <c r="A22" s="10">
        <v>2</v>
      </c>
      <c r="B22" s="10" t="s">
        <v>39</v>
      </c>
      <c r="C22" s="10">
        <v>89</v>
      </c>
      <c r="D22" s="10">
        <v>178</v>
      </c>
    </row>
    <row r="23" spans="1:4" x14ac:dyDescent="0.3">
      <c r="A23" s="10">
        <v>2</v>
      </c>
      <c r="B23" s="10" t="s">
        <v>39</v>
      </c>
      <c r="C23" s="10">
        <v>88</v>
      </c>
      <c r="D23" s="10">
        <v>160</v>
      </c>
    </row>
    <row r="24" spans="1:4" x14ac:dyDescent="0.3">
      <c r="A24" s="10">
        <v>1</v>
      </c>
      <c r="B24" s="10" t="s">
        <v>39</v>
      </c>
      <c r="C24" s="10">
        <v>75</v>
      </c>
      <c r="D24" s="10">
        <v>167</v>
      </c>
    </row>
    <row r="25" spans="1:4" x14ac:dyDescent="0.3">
      <c r="A25" s="10">
        <v>1</v>
      </c>
      <c r="B25" s="10" t="s">
        <v>38</v>
      </c>
      <c r="C25" s="10">
        <v>103</v>
      </c>
      <c r="D25" s="10">
        <v>161</v>
      </c>
    </row>
    <row r="26" spans="1:4" x14ac:dyDescent="0.3">
      <c r="A26" s="10">
        <v>1</v>
      </c>
      <c r="B26" s="10" t="s">
        <v>39</v>
      </c>
      <c r="C26" s="10">
        <v>62</v>
      </c>
      <c r="D26" s="10">
        <v>168</v>
      </c>
    </row>
    <row r="27" spans="1:4" x14ac:dyDescent="0.3">
      <c r="A27" s="10">
        <v>1</v>
      </c>
      <c r="B27" s="10" t="s">
        <v>38</v>
      </c>
      <c r="C27" s="10">
        <v>87</v>
      </c>
      <c r="D27" s="10">
        <v>161</v>
      </c>
    </row>
    <row r="28" spans="1:4" x14ac:dyDescent="0.3">
      <c r="A28" s="10">
        <v>2</v>
      </c>
      <c r="B28" s="10" t="s">
        <v>39</v>
      </c>
      <c r="C28" s="10">
        <v>97</v>
      </c>
      <c r="D28" s="10">
        <v>156</v>
      </c>
    </row>
    <row r="29" spans="1:4" x14ac:dyDescent="0.3">
      <c r="A29" s="10">
        <v>2</v>
      </c>
      <c r="B29" s="10" t="s">
        <v>39</v>
      </c>
      <c r="C29" s="10">
        <v>108</v>
      </c>
      <c r="D29" s="10">
        <v>165</v>
      </c>
    </row>
    <row r="30" spans="1:4" x14ac:dyDescent="0.3">
      <c r="A30" s="10">
        <v>1</v>
      </c>
      <c r="B30" s="10" t="s">
        <v>38</v>
      </c>
      <c r="C30" s="10">
        <v>51</v>
      </c>
      <c r="D30" s="10">
        <v>186</v>
      </c>
    </row>
    <row r="31" spans="1:4" x14ac:dyDescent="0.3">
      <c r="A31" s="10">
        <v>2</v>
      </c>
      <c r="B31" s="10" t="s">
        <v>38</v>
      </c>
      <c r="C31" s="10">
        <v>98</v>
      </c>
      <c r="D31" s="10">
        <v>185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Perusteet</vt:lpstr>
      <vt:lpstr>Funktiot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Valtteri Pitkänen</dc:creator>
  <cp:lastModifiedBy>Valtteri Pitkänen</cp:lastModifiedBy>
  <dcterms:created xsi:type="dcterms:W3CDTF">2021-05-15T14:08:22Z</dcterms:created>
  <dcterms:modified xsi:type="dcterms:W3CDTF">2021-05-15T15:48:04Z</dcterms:modified>
</cp:coreProperties>
</file>